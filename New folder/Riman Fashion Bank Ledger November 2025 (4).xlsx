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man Fashion\Desktop\"/>
    </mc:Choice>
  </mc:AlternateContent>
  <xr:revisionPtr revIDLastSave="0" documentId="13_ncr:1_{8CE859DD-C87C-456F-9D74-68FA720A4A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EDGER" sheetId="1" r:id="rId1"/>
    <sheet name="SUMMARY" sheetId="2" r:id="rId2"/>
    <sheet name="VALIDATION_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" i="1" l="1"/>
  <c r="L18" i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</calcChain>
</file>

<file path=xl/sharedStrings.xml><?xml version="1.0" encoding="utf-8"?>
<sst xmlns="http://schemas.openxmlformats.org/spreadsheetml/2006/main" count="157" uniqueCount="99">
  <si>
    <t>Business:</t>
  </si>
  <si>
    <t>Account:</t>
  </si>
  <si>
    <t>Opening Balance:</t>
  </si>
  <si>
    <t>AED 430,117.49</t>
  </si>
  <si>
    <t>Closing Balance:</t>
  </si>
  <si>
    <t>AED 396,110.34</t>
  </si>
  <si>
    <t>Date</t>
  </si>
  <si>
    <t>Description</t>
  </si>
  <si>
    <t>Paid To / Received From</t>
  </si>
  <si>
    <t>Transaction ID</t>
  </si>
  <si>
    <t>Transaction Type</t>
  </si>
  <si>
    <t>Payment Mode</t>
  </si>
  <si>
    <t>Processed By</t>
  </si>
  <si>
    <t>Cheque Bank</t>
  </si>
  <si>
    <t>Cheque Status</t>
  </si>
  <si>
    <t>Running Bank Balance</t>
  </si>
  <si>
    <t>VAT Amount</t>
  </si>
  <si>
    <t>VAT Included</t>
  </si>
  <si>
    <t>Reconciliation Status</t>
  </si>
  <si>
    <t>Opening Balance</t>
  </si>
  <si>
    <t>-</t>
  </si>
  <si>
    <t>Opening</t>
  </si>
  <si>
    <t>No</t>
  </si>
  <si>
    <t>Reconciled</t>
  </si>
  <si>
    <t>Expense</t>
  </si>
  <si>
    <t>Cheque</t>
  </si>
  <si>
    <t>Cleared</t>
  </si>
  <si>
    <t>Bank Transfer</t>
  </si>
  <si>
    <t>RIMAN FASHION - JANUARY 2025 SUMMARY</t>
  </si>
  <si>
    <t>JANUARY 2025 SUMMARY</t>
  </si>
  <si>
    <t>Total IN (Money In)</t>
  </si>
  <si>
    <t>Total OUT (Money Out)</t>
  </si>
  <si>
    <t>Closing Balance</t>
  </si>
  <si>
    <t>EXPENSE ANALYSIS</t>
  </si>
  <si>
    <t>Category</t>
  </si>
  <si>
    <t>Amount</t>
  </si>
  <si>
    <t>Salaries</t>
  </si>
  <si>
    <t>Rent Payments</t>
  </si>
  <si>
    <t>Supplier Payments</t>
  </si>
  <si>
    <t>Petty Cash</t>
  </si>
  <si>
    <t>Incentives</t>
  </si>
  <si>
    <t>PAYMENT MODE ANALYSIS</t>
  </si>
  <si>
    <t>Mode</t>
  </si>
  <si>
    <t>OUTSTANDING ITEMS</t>
  </si>
  <si>
    <t>Item</t>
  </si>
  <si>
    <t>Due Date</t>
  </si>
  <si>
    <t>No outstanding items</t>
  </si>
  <si>
    <t>Refund</t>
  </si>
  <si>
    <t>Transfer</t>
  </si>
  <si>
    <t>Cash</t>
  </si>
  <si>
    <t>Cash Deposit</t>
  </si>
  <si>
    <t>POS</t>
  </si>
  <si>
    <t>Credit Card</t>
  </si>
  <si>
    <t>Debit Card</t>
  </si>
  <si>
    <t>Online Payment</t>
  </si>
  <si>
    <t>Mobile Payment</t>
  </si>
  <si>
    <t>Installment</t>
  </si>
  <si>
    <t>Mixed</t>
  </si>
  <si>
    <t>Received</t>
  </si>
  <si>
    <t>Pending</t>
  </si>
  <si>
    <t>Bounced</t>
  </si>
  <si>
    <t>Cancelled</t>
  </si>
  <si>
    <t>Yes</t>
  </si>
  <si>
    <t>Disputed</t>
  </si>
  <si>
    <t>Riman Fashion</t>
  </si>
  <si>
    <t>Current</t>
  </si>
  <si>
    <t>Suha</t>
  </si>
  <si>
    <t>Dami</t>
  </si>
  <si>
    <t>Mr Mohamed</t>
  </si>
  <si>
    <t>Mdm Mouna</t>
  </si>
  <si>
    <t>Unais</t>
  </si>
  <si>
    <t>OUT</t>
  </si>
  <si>
    <t>IN</t>
  </si>
  <si>
    <t>Processed by</t>
  </si>
  <si>
    <t>POS Merchant Payment</t>
  </si>
  <si>
    <t>ADIB POS</t>
  </si>
  <si>
    <t>Closing</t>
  </si>
  <si>
    <t>Sales Cash Deposit</t>
  </si>
  <si>
    <t>RF Cash Main Safe</t>
  </si>
  <si>
    <t>Trans 767763</t>
  </si>
  <si>
    <t>DIB</t>
  </si>
  <si>
    <t>ADIB</t>
  </si>
  <si>
    <t>Ismail Almazmi</t>
  </si>
  <si>
    <t>Alanood Abdulla Al Shehhi</t>
  </si>
  <si>
    <t>Received Customer Payment</t>
  </si>
  <si>
    <t>POS Customer Payment</t>
  </si>
  <si>
    <t>RIMAN FASHION - BANK LEDGER - November 2025</t>
  </si>
  <si>
    <t>POS Merchant Payment - received</t>
  </si>
  <si>
    <t>Previous Balance 31/10/2025</t>
  </si>
  <si>
    <t>Sales payment</t>
  </si>
  <si>
    <t>Bill Payment</t>
  </si>
  <si>
    <t>Purchase payment</t>
  </si>
  <si>
    <t>Salaries payment</t>
  </si>
  <si>
    <t>Al Ansari Exchange</t>
  </si>
  <si>
    <t>Salaries and Benefits Oct2025</t>
  </si>
  <si>
    <t>Quarter Auditing</t>
  </si>
  <si>
    <t>Auditing cheque payment 2</t>
  </si>
  <si>
    <t>Tasheel - PRO</t>
  </si>
  <si>
    <t>Javar card and visa renewal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</si>
</sst>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5D4037"/>
      <name val="Georgia"/>
    </font>
    <font>
      <b/>
      <sz val="11"/>
      <color rgb="FF212121"/>
      <name val="Calibri"/>
    </font>
    <font>
      <b/>
      <sz val="11"/>
      <color rgb="FF2E7D32"/>
      <name val="Calibri"/>
    </font>
    <font>
      <b/>
      <sz val="11"/>
      <color rgb="FFC62828"/>
      <name val="Calibri"/>
    </font>
    <font>
      <sz val="10"/>
      <color rgb="FF212121"/>
      <name val="Calibri"/>
    </font>
    <font>
      <b/>
      <sz val="12"/>
      <color rgb="FF5D4037"/>
      <name val="Calibri"/>
    </font>
    <font>
      <b/>
      <sz val="11"/>
      <name val="Calibri"/>
    </font>
    <font>
      <b/>
      <sz val="11"/>
      <color rgb="FF5D40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F5E6D3"/>
        <bgColor rgb="FFF5E6D3"/>
      </patternFill>
    </fill>
    <fill>
      <patternFill patternType="solid">
        <fgColor rgb="FFFAF5E9"/>
        <bgColor rgb="FFFAF5E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2" xfId="0" applyFont="1" applyFill="1" applyBorder="1" applyAlignment="1">
      <alignment horizontal="center" vertical="center" wrapText="1"/>
    </xf>
    <xf numFmtId="14" fontId="6" fillId="0" borderId="2" xfId="0" applyNumberFormat="1" applyFont="1" applyBorder="1"/>
    <xf numFmtId="0" fontId="6" fillId="0" borderId="2" xfId="0" applyFont="1" applyBorder="1"/>
    <xf numFmtId="4" fontId="6" fillId="0" borderId="2" xfId="0" applyNumberFormat="1" applyFont="1" applyBorder="1"/>
    <xf numFmtId="14" fontId="6" fillId="4" borderId="2" xfId="0" applyNumberFormat="1" applyFont="1" applyFill="1" applyBorder="1"/>
    <xf numFmtId="0" fontId="6" fillId="4" borderId="2" xfId="0" applyFont="1" applyFill="1" applyBorder="1"/>
    <xf numFmtId="4" fontId="6" fillId="4" borderId="2" xfId="0" applyNumberFormat="1" applyFont="1" applyFill="1" applyBorder="1"/>
    <xf numFmtId="0" fontId="7" fillId="3" borderId="2" xfId="0" applyFont="1" applyFill="1" applyBorder="1"/>
    <xf numFmtId="0" fontId="8" fillId="0" borderId="2" xfId="0" applyFont="1" applyBorder="1"/>
    <xf numFmtId="0" fontId="0" fillId="0" borderId="2" xfId="0" applyBorder="1"/>
    <xf numFmtId="4" fontId="1" fillId="0" borderId="2" xfId="0" applyNumberFormat="1" applyFont="1" applyBorder="1"/>
    <xf numFmtId="0" fontId="9" fillId="0" borderId="0" xfId="0" applyFont="1"/>
    <xf numFmtId="0" fontId="0" fillId="0" borderId="0" xfId="0"/>
    <xf numFmtId="0" fontId="0" fillId="0" borderId="0" xfId="0"/>
    <xf numFmtId="4" fontId="5" fillId="0" borderId="0" xfId="0" applyNumberFormat="1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4" fontId="4" fillId="0" borderId="0" xfId="0" applyNumberFormat="1" applyFont="1"/>
    <xf numFmtId="0" fontId="3" fillId="0" borderId="0" xfId="0" applyFont="1" applyAlignment="1">
      <alignment horizontal="right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CDD2"/>
          <bgColor rgb="FFFFCDD2"/>
        </patternFill>
      </fill>
    </dxf>
    <dxf>
      <fill>
        <patternFill patternType="solid">
          <fgColor rgb="FFC8E6C9"/>
          <b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L28" sqref="L28:L29"/>
    </sheetView>
  </sheetViews>
  <sheetFormatPr defaultRowHeight="15" x14ac:dyDescent="0.25"/>
  <cols>
    <col min="1" max="1" width="12" customWidth="1"/>
    <col min="2" max="2" width="35" customWidth="1"/>
    <col min="3" max="3" width="25" customWidth="1"/>
    <col min="4" max="4" width="15" customWidth="1"/>
    <col min="5" max="5" width="15" style="16" customWidth="1"/>
    <col min="6" max="7" width="15" customWidth="1"/>
    <col min="8" max="8" width="20" customWidth="1"/>
    <col min="9" max="12" width="15" customWidth="1"/>
    <col min="13" max="13" width="12" customWidth="1"/>
    <col min="14" max="14" width="10" customWidth="1"/>
    <col min="15" max="15" width="15" customWidth="1"/>
  </cols>
  <sheetData>
    <row r="1" spans="1:16" ht="20.25" x14ac:dyDescent="0.25">
      <c r="A1" s="19" t="s">
        <v>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x14ac:dyDescent="0.25">
      <c r="A2" s="20" t="s">
        <v>0</v>
      </c>
      <c r="B2" s="18"/>
      <c r="C2" s="20" t="s">
        <v>64</v>
      </c>
      <c r="D2" s="18"/>
      <c r="F2" s="1" t="s">
        <v>1</v>
      </c>
      <c r="G2" t="s">
        <v>65</v>
      </c>
      <c r="H2" s="22" t="s">
        <v>2</v>
      </c>
      <c r="I2" s="18"/>
      <c r="J2" s="18"/>
      <c r="K2" s="21" t="s">
        <v>3</v>
      </c>
      <c r="L2" s="18"/>
      <c r="M2" s="2" t="s">
        <v>4</v>
      </c>
      <c r="N2" s="17" t="s">
        <v>5</v>
      </c>
      <c r="O2" s="18"/>
    </row>
    <row r="4" spans="1:16" ht="30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72</v>
      </c>
      <c r="K4" s="3" t="s">
        <v>71</v>
      </c>
      <c r="L4" s="3" t="s">
        <v>15</v>
      </c>
      <c r="M4" s="3" t="s">
        <v>16</v>
      </c>
      <c r="N4" s="3" t="s">
        <v>17</v>
      </c>
      <c r="O4" s="3" t="s">
        <v>18</v>
      </c>
    </row>
    <row r="5" spans="1:16" x14ac:dyDescent="0.25">
      <c r="A5" s="4">
        <v>45962</v>
      </c>
      <c r="B5" s="5" t="s">
        <v>19</v>
      </c>
      <c r="C5" s="5" t="s">
        <v>88</v>
      </c>
      <c r="D5" s="5"/>
      <c r="E5" s="5" t="s">
        <v>21</v>
      </c>
      <c r="F5" s="5"/>
      <c r="G5" s="5" t="s">
        <v>68</v>
      </c>
      <c r="H5" s="5" t="s">
        <v>20</v>
      </c>
      <c r="I5" s="5"/>
      <c r="J5" s="6">
        <v>0</v>
      </c>
      <c r="K5" s="6">
        <v>0</v>
      </c>
      <c r="L5" s="6">
        <v>422699.09</v>
      </c>
      <c r="M5" s="6">
        <v>0</v>
      </c>
      <c r="N5" s="5"/>
      <c r="O5" s="5"/>
    </row>
    <row r="6" spans="1:16" x14ac:dyDescent="0.25">
      <c r="A6" s="7">
        <v>45962</v>
      </c>
      <c r="B6" s="8" t="s">
        <v>94</v>
      </c>
      <c r="C6" s="8" t="s">
        <v>93</v>
      </c>
      <c r="D6" s="8"/>
      <c r="E6" s="5" t="s">
        <v>92</v>
      </c>
      <c r="F6" s="5" t="s">
        <v>54</v>
      </c>
      <c r="G6" s="5" t="s">
        <v>80</v>
      </c>
      <c r="H6" s="8"/>
      <c r="I6" s="5"/>
      <c r="J6" s="9"/>
      <c r="K6" s="9">
        <v>47680</v>
      </c>
      <c r="L6" s="9">
        <f>L5-K6+J6</f>
        <v>375019.09</v>
      </c>
      <c r="M6" s="9"/>
      <c r="N6" s="5"/>
      <c r="O6" s="5"/>
    </row>
    <row r="7" spans="1:16" x14ac:dyDescent="0.25">
      <c r="A7" s="7">
        <v>45963</v>
      </c>
      <c r="B7" s="5" t="s">
        <v>87</v>
      </c>
      <c r="C7" s="5" t="s">
        <v>75</v>
      </c>
      <c r="D7" s="5"/>
      <c r="E7" s="5" t="s">
        <v>89</v>
      </c>
      <c r="F7" s="5" t="s">
        <v>54</v>
      </c>
      <c r="G7" s="5" t="s">
        <v>81</v>
      </c>
      <c r="H7" s="5"/>
      <c r="I7" s="5"/>
      <c r="J7" s="6">
        <v>11720.12</v>
      </c>
      <c r="K7" s="6"/>
      <c r="L7" s="9">
        <f t="shared" ref="L7:L29" si="0">L6-K7+J7</f>
        <v>386739.21</v>
      </c>
      <c r="M7" s="6"/>
      <c r="N7" s="5"/>
      <c r="O7" s="5"/>
    </row>
    <row r="8" spans="1:16" x14ac:dyDescent="0.25">
      <c r="A8" s="7">
        <v>45964</v>
      </c>
      <c r="B8" s="5" t="s">
        <v>74</v>
      </c>
      <c r="C8" s="5" t="s">
        <v>75</v>
      </c>
      <c r="D8" s="8"/>
      <c r="E8" s="5" t="s">
        <v>89</v>
      </c>
      <c r="F8" s="5" t="s">
        <v>54</v>
      </c>
      <c r="G8" s="5" t="s">
        <v>81</v>
      </c>
      <c r="H8" s="8"/>
      <c r="I8" s="5"/>
      <c r="J8" s="9">
        <v>3661.63</v>
      </c>
      <c r="K8" s="9"/>
      <c r="L8" s="9">
        <f t="shared" si="0"/>
        <v>390400.84</v>
      </c>
      <c r="M8" s="9"/>
      <c r="N8" s="5"/>
      <c r="O8" s="5"/>
    </row>
    <row r="9" spans="1:16" x14ac:dyDescent="0.25">
      <c r="A9" s="7">
        <v>45965</v>
      </c>
      <c r="B9" s="5" t="s">
        <v>74</v>
      </c>
      <c r="C9" s="5" t="s">
        <v>75</v>
      </c>
      <c r="D9" s="5"/>
      <c r="E9" s="5" t="s">
        <v>89</v>
      </c>
      <c r="F9" s="5" t="s">
        <v>54</v>
      </c>
      <c r="G9" s="5" t="s">
        <v>81</v>
      </c>
      <c r="H9" s="5"/>
      <c r="I9" s="5"/>
      <c r="J9" s="6">
        <v>8351.9500000000007</v>
      </c>
      <c r="K9" s="6"/>
      <c r="L9" s="9">
        <f t="shared" si="0"/>
        <v>398752.79000000004</v>
      </c>
      <c r="M9" s="6"/>
      <c r="N9" s="5"/>
      <c r="O9" s="5"/>
    </row>
    <row r="10" spans="1:16" x14ac:dyDescent="0.25">
      <c r="A10" s="7">
        <v>45966</v>
      </c>
      <c r="B10" s="5" t="s">
        <v>74</v>
      </c>
      <c r="C10" s="5" t="s">
        <v>75</v>
      </c>
      <c r="D10" s="8"/>
      <c r="E10" s="5" t="s">
        <v>89</v>
      </c>
      <c r="F10" s="5" t="s">
        <v>54</v>
      </c>
      <c r="G10" s="5" t="s">
        <v>81</v>
      </c>
      <c r="H10" s="8"/>
      <c r="I10" s="5"/>
      <c r="J10" s="9">
        <v>4423.4399999999996</v>
      </c>
      <c r="K10" s="9"/>
      <c r="L10" s="9">
        <f t="shared" si="0"/>
        <v>403176.23000000004</v>
      </c>
      <c r="M10" s="9"/>
      <c r="N10" s="5"/>
      <c r="O10" s="5"/>
    </row>
    <row r="11" spans="1:16" x14ac:dyDescent="0.25">
      <c r="A11" s="7">
        <v>45967</v>
      </c>
      <c r="B11" s="5" t="s">
        <v>74</v>
      </c>
      <c r="C11" s="5" t="s">
        <v>75</v>
      </c>
      <c r="D11" s="5"/>
      <c r="E11" s="5" t="s">
        <v>89</v>
      </c>
      <c r="F11" s="5" t="s">
        <v>54</v>
      </c>
      <c r="G11" s="5" t="s">
        <v>81</v>
      </c>
      <c r="H11" s="5"/>
      <c r="I11" s="5"/>
      <c r="J11" s="6">
        <v>2928.18</v>
      </c>
      <c r="K11" s="6"/>
      <c r="L11" s="9">
        <f t="shared" si="0"/>
        <v>406104.41000000003</v>
      </c>
      <c r="M11" s="6"/>
      <c r="N11" s="5"/>
      <c r="O11" s="5"/>
    </row>
    <row r="12" spans="1:16" x14ac:dyDescent="0.25">
      <c r="A12" s="4">
        <v>45968</v>
      </c>
      <c r="B12" s="8" t="s">
        <v>77</v>
      </c>
      <c r="C12" s="8" t="s">
        <v>78</v>
      </c>
      <c r="D12" s="8" t="s">
        <v>79</v>
      </c>
      <c r="E12" s="5" t="s">
        <v>50</v>
      </c>
      <c r="F12" s="5" t="s">
        <v>50</v>
      </c>
      <c r="G12" s="5" t="s">
        <v>66</v>
      </c>
      <c r="H12" s="8"/>
      <c r="I12" s="5"/>
      <c r="J12" s="9">
        <v>14000</v>
      </c>
      <c r="K12" s="9"/>
      <c r="L12" s="9">
        <f t="shared" si="0"/>
        <v>420104.41000000003</v>
      </c>
      <c r="M12" s="9"/>
      <c r="N12" s="5"/>
      <c r="O12" s="5"/>
    </row>
    <row r="13" spans="1:16" x14ac:dyDescent="0.25">
      <c r="A13" s="4">
        <v>45968</v>
      </c>
      <c r="B13" s="5" t="s">
        <v>74</v>
      </c>
      <c r="C13" s="5" t="s">
        <v>75</v>
      </c>
      <c r="D13" s="5"/>
      <c r="E13" s="5" t="s">
        <v>89</v>
      </c>
      <c r="F13" s="5" t="s">
        <v>54</v>
      </c>
      <c r="G13" s="5" t="s">
        <v>81</v>
      </c>
      <c r="H13" s="5"/>
      <c r="I13" s="5"/>
      <c r="J13" s="6">
        <v>4628.93</v>
      </c>
      <c r="K13" s="6"/>
      <c r="L13" s="9">
        <f t="shared" si="0"/>
        <v>424733.34</v>
      </c>
      <c r="M13" s="6"/>
      <c r="N13" s="5"/>
      <c r="O13" s="5"/>
    </row>
    <row r="14" spans="1:16" x14ac:dyDescent="0.25">
      <c r="A14" s="4">
        <v>45968</v>
      </c>
      <c r="B14" s="8" t="s">
        <v>84</v>
      </c>
      <c r="C14" s="8" t="s">
        <v>82</v>
      </c>
      <c r="D14" s="8"/>
      <c r="E14" s="5" t="s">
        <v>89</v>
      </c>
      <c r="F14" s="5" t="s">
        <v>27</v>
      </c>
      <c r="G14" s="5"/>
      <c r="H14" s="8"/>
      <c r="I14" s="5"/>
      <c r="J14" s="9">
        <v>7875</v>
      </c>
      <c r="K14" s="9"/>
      <c r="L14" s="9">
        <f t="shared" si="0"/>
        <v>432608.34</v>
      </c>
      <c r="M14" s="9"/>
      <c r="N14" s="5"/>
      <c r="O14" s="5"/>
    </row>
    <row r="15" spans="1:16" x14ac:dyDescent="0.25">
      <c r="A15" s="4">
        <v>45969</v>
      </c>
      <c r="B15" s="8" t="s">
        <v>85</v>
      </c>
      <c r="C15" s="5" t="s">
        <v>83</v>
      </c>
      <c r="D15" s="5"/>
      <c r="E15" s="5" t="s">
        <v>89</v>
      </c>
      <c r="F15" s="5" t="s">
        <v>53</v>
      </c>
      <c r="G15" s="5"/>
      <c r="H15" s="5"/>
      <c r="I15" s="5"/>
      <c r="J15" s="6">
        <v>7900</v>
      </c>
      <c r="K15" s="6"/>
      <c r="L15" s="9">
        <f t="shared" si="0"/>
        <v>440508.34</v>
      </c>
      <c r="M15" s="6"/>
      <c r="N15" s="5"/>
      <c r="O15" s="5"/>
    </row>
    <row r="16" spans="1:16" x14ac:dyDescent="0.25">
      <c r="A16" s="7">
        <v>45970</v>
      </c>
      <c r="B16" s="8" t="s">
        <v>96</v>
      </c>
      <c r="C16" s="8" t="s">
        <v>95</v>
      </c>
      <c r="D16" s="8">
        <v>100222</v>
      </c>
      <c r="E16" s="5" t="s">
        <v>24</v>
      </c>
      <c r="F16" s="5" t="s">
        <v>25</v>
      </c>
      <c r="G16" s="5" t="s">
        <v>80</v>
      </c>
      <c r="H16" s="8" t="s">
        <v>80</v>
      </c>
      <c r="I16" s="5" t="s">
        <v>26</v>
      </c>
      <c r="J16" s="9"/>
      <c r="K16" s="9">
        <v>3000</v>
      </c>
      <c r="L16" s="9">
        <f t="shared" si="0"/>
        <v>437508.34</v>
      </c>
      <c r="M16" s="9"/>
      <c r="N16" s="5"/>
      <c r="O16" s="5"/>
    </row>
    <row r="17" spans="1:15" x14ac:dyDescent="0.25">
      <c r="A17" s="7">
        <v>45971</v>
      </c>
      <c r="B17" s="5" t="s">
        <v>98</v>
      </c>
      <c r="C17" s="5" t="s">
        <v>97</v>
      </c>
      <c r="D17" s="5"/>
      <c r="E17" s="5" t="s">
        <v>24</v>
      </c>
      <c r="F17" s="5" t="s">
        <v>27</v>
      </c>
      <c r="G17" s="5"/>
      <c r="H17" s="5"/>
      <c r="I17" s="5"/>
      <c r="J17" s="6"/>
      <c r="K17" s="6">
        <v>5200</v>
      </c>
      <c r="L17" s="9">
        <f t="shared" si="0"/>
        <v>432308.34</v>
      </c>
      <c r="M17" s="6"/>
      <c r="N17" s="5"/>
      <c r="O17" s="5"/>
    </row>
    <row r="18" spans="1:15" x14ac:dyDescent="0.25">
      <c r="A18" s="7"/>
      <c r="B18" s="8"/>
      <c r="C18" s="8"/>
      <c r="D18" s="8"/>
      <c r="E18" s="5"/>
      <c r="F18" s="5"/>
      <c r="G18" s="5"/>
      <c r="H18" s="8"/>
      <c r="I18" s="5"/>
      <c r="J18" s="9"/>
      <c r="K18" s="9"/>
      <c r="L18" s="9">
        <f t="shared" si="0"/>
        <v>432308.34</v>
      </c>
      <c r="M18" s="9"/>
      <c r="N18" s="5"/>
      <c r="O18" s="5"/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6"/>
      <c r="K19" s="6"/>
      <c r="L19" s="9">
        <f t="shared" si="0"/>
        <v>432308.34</v>
      </c>
      <c r="M19" s="6"/>
      <c r="N19" s="5"/>
      <c r="O19" s="5"/>
    </row>
    <row r="20" spans="1:15" x14ac:dyDescent="0.25">
      <c r="A20" s="7"/>
      <c r="B20" s="8"/>
      <c r="C20" s="8"/>
      <c r="D20" s="8"/>
      <c r="E20" s="5"/>
      <c r="F20" s="5"/>
      <c r="G20" s="5"/>
      <c r="H20" s="8"/>
      <c r="I20" s="5"/>
      <c r="J20" s="9"/>
      <c r="K20" s="9"/>
      <c r="L20" s="9">
        <f t="shared" si="0"/>
        <v>432308.34</v>
      </c>
      <c r="M20" s="9"/>
      <c r="N20" s="5"/>
      <c r="O20" s="5"/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6"/>
      <c r="K21" s="6"/>
      <c r="L21" s="9">
        <f t="shared" si="0"/>
        <v>432308.34</v>
      </c>
      <c r="M21" s="6"/>
      <c r="N21" s="5"/>
      <c r="O21" s="5"/>
    </row>
    <row r="22" spans="1:15" x14ac:dyDescent="0.25">
      <c r="A22" s="7"/>
      <c r="B22" s="8"/>
      <c r="C22" s="8"/>
      <c r="D22" s="8"/>
      <c r="E22" s="5"/>
      <c r="F22" s="5"/>
      <c r="G22" s="5"/>
      <c r="H22" s="8"/>
      <c r="I22" s="5"/>
      <c r="J22" s="9"/>
      <c r="K22" s="9"/>
      <c r="L22" s="9">
        <f t="shared" si="0"/>
        <v>432308.34</v>
      </c>
      <c r="M22" s="9"/>
      <c r="N22" s="5"/>
      <c r="O22" s="5"/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6"/>
      <c r="K23" s="6"/>
      <c r="L23" s="9">
        <f t="shared" si="0"/>
        <v>432308.34</v>
      </c>
      <c r="M23" s="6"/>
      <c r="N23" s="5"/>
      <c r="O23" s="5"/>
    </row>
    <row r="24" spans="1:15" x14ac:dyDescent="0.25">
      <c r="A24" s="7"/>
      <c r="B24" s="8"/>
      <c r="C24" s="8"/>
      <c r="D24" s="8"/>
      <c r="E24" s="5"/>
      <c r="F24" s="5"/>
      <c r="G24" s="5"/>
      <c r="H24" s="8"/>
      <c r="I24" s="5"/>
      <c r="J24" s="9"/>
      <c r="K24" s="9"/>
      <c r="L24" s="9">
        <f t="shared" si="0"/>
        <v>432308.34</v>
      </c>
      <c r="M24" s="9"/>
      <c r="N24" s="5"/>
      <c r="O24" s="5"/>
    </row>
    <row r="25" spans="1:15" x14ac:dyDescent="0.25">
      <c r="A25" s="4"/>
      <c r="B25" s="5"/>
      <c r="C25" s="5"/>
      <c r="D25" s="5"/>
      <c r="E25" s="5"/>
      <c r="F25" s="5"/>
      <c r="G25" s="5"/>
      <c r="H25" s="5"/>
      <c r="I25" s="5"/>
      <c r="J25" s="6"/>
      <c r="K25" s="6"/>
      <c r="L25" s="9">
        <f t="shared" si="0"/>
        <v>432308.34</v>
      </c>
      <c r="M25" s="6"/>
      <c r="N25" s="5"/>
      <c r="O25" s="5"/>
    </row>
    <row r="26" spans="1:15" x14ac:dyDescent="0.25">
      <c r="A26" s="7"/>
      <c r="B26" s="8"/>
      <c r="C26" s="8"/>
      <c r="D26" s="8"/>
      <c r="E26" s="5"/>
      <c r="F26" s="5"/>
      <c r="G26" s="5"/>
      <c r="H26" s="8"/>
      <c r="I26" s="5"/>
      <c r="J26" s="9"/>
      <c r="K26" s="9"/>
      <c r="L26" s="9">
        <f t="shared" si="0"/>
        <v>432308.34</v>
      </c>
      <c r="M26" s="9"/>
      <c r="N26" s="5"/>
      <c r="O26" s="5"/>
    </row>
    <row r="27" spans="1:15" x14ac:dyDescent="0.25">
      <c r="A27" s="4"/>
      <c r="B27" s="5"/>
      <c r="C27" s="5"/>
      <c r="D27" s="5"/>
      <c r="E27" s="5"/>
      <c r="F27" s="5"/>
      <c r="G27" s="5"/>
      <c r="H27" s="5"/>
      <c r="I27" s="5"/>
      <c r="J27" s="6"/>
      <c r="K27" s="6"/>
      <c r="L27" s="9">
        <f t="shared" si="0"/>
        <v>432308.34</v>
      </c>
      <c r="M27" s="6"/>
      <c r="N27" s="5"/>
      <c r="O27" s="5"/>
    </row>
    <row r="28" spans="1:15" x14ac:dyDescent="0.25">
      <c r="A28" s="7"/>
      <c r="B28" s="8"/>
      <c r="C28" s="8"/>
      <c r="D28" s="8"/>
      <c r="E28" s="5"/>
      <c r="F28" s="5"/>
      <c r="G28" s="5"/>
      <c r="H28" s="8"/>
      <c r="I28" s="5"/>
      <c r="J28" s="9"/>
      <c r="K28" s="9"/>
      <c r="L28" s="9">
        <f t="shared" si="0"/>
        <v>432308.34</v>
      </c>
      <c r="M28" s="9"/>
      <c r="N28" s="5"/>
      <c r="O28" s="5"/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6"/>
      <c r="K29" s="6"/>
      <c r="L29" s="9">
        <f t="shared" si="0"/>
        <v>432308.34</v>
      </c>
      <c r="M29" s="6"/>
      <c r="N29" s="5"/>
      <c r="O29" s="5"/>
    </row>
  </sheetData>
  <mergeCells count="6">
    <mergeCell ref="N2:O2"/>
    <mergeCell ref="A1:P1"/>
    <mergeCell ref="C2:D2"/>
    <mergeCell ref="K2:L2"/>
    <mergeCell ref="H2:J2"/>
    <mergeCell ref="A2:B2"/>
  </mergeCells>
  <conditionalFormatting sqref="J5:J29">
    <cfRule type="cellIs" dxfId="1" priority="1" operator="greaterThan">
      <formula>0</formula>
    </cfRule>
  </conditionalFormatting>
  <conditionalFormatting sqref="K5:K29">
    <cfRule type="cellIs" dxfId="0" priority="2" operator="greaterThan">
      <formula>0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2109CCF2-F20F-40F8-87FB-CF2282298993}">
          <x14:formula1>
            <xm:f>VALIDATION_LISTS!$A$38:$A$41</xm:f>
          </x14:formula1>
          <xm:sqref>O5:O29</xm:sqref>
        </x14:dataValidation>
        <x14:dataValidation type="list" allowBlank="1" showInputMessage="1" showErrorMessage="1" xr:uid="{09CC4C16-99B6-4DA6-8192-8E42D04CC906}">
          <x14:formula1>
            <xm:f>VALIDATION_LISTS!$A$34:$A$36</xm:f>
          </x14:formula1>
          <xm:sqref>N5:N29</xm:sqref>
        </x14:dataValidation>
        <x14:dataValidation type="list" allowBlank="1" showInputMessage="1" showErrorMessage="1" xr:uid="{48D1F6A3-71AA-482A-89EE-B47D0D733BE6}">
          <x14:formula1>
            <xm:f>VALIDATION_LISTS!$A$27:$A$32</xm:f>
          </x14:formula1>
          <xm:sqref>I5:I29</xm:sqref>
        </x14:dataValidation>
        <x14:dataValidation type="list" allowBlank="1" showInputMessage="1" showErrorMessage="1" xr:uid="{77A9EBDF-3F6B-4D9A-B5B4-211325B6A467}">
          <x14:formula1>
            <xm:f>VALIDATION_LISTS!$A$14:$A$25</xm:f>
          </x14:formula1>
          <xm:sqref>F5:F29</xm:sqref>
        </x14:dataValidation>
        <x14:dataValidation type="list" showInputMessage="1" showErrorMessage="1" xr:uid="{06442F57-1D42-4AFD-B7D4-D81AD50D248D}">
          <x14:formula1>
            <xm:f>VALIDATION_LISTS!$A$43:$A$49</xm:f>
          </x14:formula1>
          <xm:sqref>G14:G29</xm:sqref>
        </x14:dataValidation>
        <x14:dataValidation type="list" showInputMessage="1" showErrorMessage="1" xr:uid="{696B3213-40F3-4D0B-A8A5-0A8E522AFA74}">
          <x14:formula1>
            <xm:f>VALIDATION_LISTS!$A$43:$A$50</xm:f>
          </x14:formula1>
          <xm:sqref>G5:G13</xm:sqref>
        </x14:dataValidation>
        <x14:dataValidation type="list" allowBlank="1" showInputMessage="1" showErrorMessage="1" xr:uid="{44D67885-D6BB-42C3-9D5E-2F61EF4C70BB}">
          <x14:formula1>
            <xm:f>VALIDATION_LISTS!$A$2:$A$12</xm:f>
          </x14:formula1>
          <xm:sqref>E5:E29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C29" sqref="C29"/>
    </sheetView>
  </sheetViews>
  <sheetFormatPr defaultRowHeight="15" x14ac:dyDescent="0.25"/>
  <cols>
    <col min="1" max="1" width="30" customWidth="1"/>
    <col min="2" max="2" width="20" customWidth="1"/>
    <col min="3" max="3" width="15" customWidth="1"/>
  </cols>
  <sheetData>
    <row r="1" spans="1:8" ht="20.25" x14ac:dyDescent="0.25">
      <c r="A1" s="23" t="s">
        <v>28</v>
      </c>
      <c r="B1" s="18"/>
      <c r="C1" s="18"/>
      <c r="D1" s="18"/>
      <c r="E1" s="18"/>
      <c r="F1" s="18"/>
      <c r="G1" s="18"/>
      <c r="H1" s="18"/>
    </row>
    <row r="3" spans="1:8" ht="15.75" x14ac:dyDescent="0.25">
      <c r="A3" s="10" t="s">
        <v>29</v>
      </c>
      <c r="B3" s="10"/>
      <c r="C3" s="10"/>
      <c r="D3" s="10"/>
      <c r="E3" s="10"/>
      <c r="F3" s="10"/>
      <c r="G3" s="10"/>
      <c r="H3" s="10"/>
    </row>
    <row r="4" spans="1:8" x14ac:dyDescent="0.25">
      <c r="A4" s="11" t="s">
        <v>19</v>
      </c>
      <c r="B4" s="11"/>
      <c r="C4" s="11"/>
      <c r="D4" s="11"/>
      <c r="E4" s="11"/>
      <c r="F4" s="11"/>
      <c r="G4" s="11"/>
      <c r="H4" s="11"/>
    </row>
    <row r="5" spans="1:8" x14ac:dyDescent="0.25">
      <c r="A5" s="11" t="s">
        <v>30</v>
      </c>
      <c r="B5" s="11"/>
      <c r="C5" s="11"/>
      <c r="D5" s="11"/>
      <c r="E5" s="11"/>
      <c r="F5" s="11"/>
      <c r="G5" s="11"/>
      <c r="H5" s="11"/>
    </row>
    <row r="6" spans="1:8" x14ac:dyDescent="0.25">
      <c r="A6" s="11" t="s">
        <v>31</v>
      </c>
      <c r="B6" s="11"/>
      <c r="C6" s="11"/>
      <c r="D6" s="11"/>
      <c r="E6" s="11"/>
      <c r="F6" s="11"/>
      <c r="G6" s="11"/>
      <c r="H6" s="11"/>
    </row>
    <row r="7" spans="1:8" x14ac:dyDescent="0.25">
      <c r="A7" s="11" t="s">
        <v>32</v>
      </c>
      <c r="B7" s="11"/>
      <c r="C7" s="11"/>
      <c r="D7" s="11"/>
      <c r="E7" s="11"/>
      <c r="F7" s="11"/>
      <c r="G7" s="11"/>
      <c r="H7" s="11"/>
    </row>
    <row r="8" spans="1:8" x14ac:dyDescent="0.25">
      <c r="A8" s="11"/>
      <c r="B8" s="11"/>
      <c r="C8" s="11"/>
      <c r="D8" s="11"/>
      <c r="E8" s="11"/>
      <c r="F8" s="11"/>
      <c r="G8" s="11"/>
      <c r="H8" s="11"/>
    </row>
    <row r="9" spans="1:8" x14ac:dyDescent="0.25">
      <c r="A9" s="12" t="s">
        <v>33</v>
      </c>
      <c r="B9" s="12"/>
      <c r="C9" s="12"/>
      <c r="D9" s="12"/>
      <c r="E9" s="12"/>
      <c r="F9" s="12"/>
      <c r="G9" s="12"/>
      <c r="H9" s="12"/>
    </row>
    <row r="10" spans="1:8" x14ac:dyDescent="0.25">
      <c r="A10" s="12" t="s">
        <v>34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36</v>
      </c>
      <c r="B11" s="13"/>
      <c r="C11" s="12"/>
      <c r="D11" s="12"/>
      <c r="E11" s="12"/>
      <c r="F11" s="12"/>
      <c r="G11" s="12"/>
      <c r="H11" s="12"/>
    </row>
    <row r="12" spans="1:8" x14ac:dyDescent="0.25">
      <c r="A12" s="12" t="s">
        <v>37</v>
      </c>
      <c r="B12" s="13"/>
      <c r="C12" s="12"/>
      <c r="D12" s="12"/>
      <c r="E12" s="12"/>
      <c r="F12" s="12"/>
      <c r="G12" s="12"/>
      <c r="H12" s="12"/>
    </row>
    <row r="13" spans="1:8" x14ac:dyDescent="0.25">
      <c r="A13" s="12" t="s">
        <v>38</v>
      </c>
      <c r="B13" s="13"/>
      <c r="C13" s="12"/>
      <c r="D13" s="12"/>
      <c r="E13" s="12"/>
      <c r="F13" s="12"/>
      <c r="G13" s="12"/>
      <c r="H13" s="12"/>
    </row>
    <row r="14" spans="1:8" x14ac:dyDescent="0.25">
      <c r="A14" s="12" t="s">
        <v>39</v>
      </c>
      <c r="B14" s="13"/>
      <c r="C14" s="12"/>
      <c r="D14" s="12"/>
      <c r="E14" s="12"/>
      <c r="F14" s="12"/>
      <c r="G14" s="12"/>
      <c r="H14" s="12"/>
    </row>
    <row r="15" spans="1:8" x14ac:dyDescent="0.25">
      <c r="A15" s="12" t="s">
        <v>40</v>
      </c>
      <c r="B15" s="13"/>
      <c r="C15" s="12"/>
      <c r="D15" s="12"/>
      <c r="E15" s="12"/>
      <c r="F15" s="12"/>
      <c r="G15" s="12"/>
      <c r="H15" s="12"/>
    </row>
    <row r="16" spans="1:8" x14ac:dyDescent="0.25">
      <c r="A16" s="12"/>
      <c r="B16" s="12"/>
      <c r="C16" s="12"/>
      <c r="D16" s="12"/>
      <c r="E16" s="12"/>
      <c r="F16" s="12"/>
      <c r="G16" s="12"/>
      <c r="H16" s="12"/>
    </row>
    <row r="17" spans="1:8" x14ac:dyDescent="0.25">
      <c r="A17" s="12" t="s">
        <v>41</v>
      </c>
      <c r="B17" s="12"/>
      <c r="C17" s="12"/>
      <c r="D17" s="12"/>
      <c r="E17" s="12"/>
      <c r="F17" s="12"/>
      <c r="G17" s="12"/>
      <c r="H17" s="12"/>
    </row>
    <row r="18" spans="1:8" x14ac:dyDescent="0.25">
      <c r="A18" s="12" t="s">
        <v>42</v>
      </c>
      <c r="B18" s="12"/>
      <c r="C18" s="12"/>
      <c r="D18" s="12"/>
      <c r="E18" s="12"/>
      <c r="F18" s="12"/>
      <c r="G18" s="12"/>
      <c r="H18" s="12"/>
    </row>
    <row r="19" spans="1:8" x14ac:dyDescent="0.25">
      <c r="A19" s="12" t="s">
        <v>25</v>
      </c>
      <c r="B19" s="12"/>
      <c r="C19" s="13"/>
      <c r="D19" s="12"/>
      <c r="E19" s="12"/>
      <c r="F19" s="12"/>
      <c r="G19" s="12"/>
      <c r="H19" s="12"/>
    </row>
    <row r="20" spans="1:8" x14ac:dyDescent="0.25">
      <c r="A20" s="12" t="s">
        <v>27</v>
      </c>
      <c r="B20" s="12"/>
      <c r="C20" s="13"/>
      <c r="D20" s="12"/>
      <c r="E20" s="12"/>
      <c r="F20" s="12"/>
      <c r="G20" s="12"/>
      <c r="H20" s="12"/>
    </row>
    <row r="21" spans="1:8" x14ac:dyDescent="0.25">
      <c r="A21" s="12"/>
      <c r="B21" s="12"/>
      <c r="C21" s="12"/>
      <c r="D21" s="12"/>
      <c r="E21" s="12"/>
      <c r="F21" s="12"/>
      <c r="G21" s="12"/>
      <c r="H21" s="12"/>
    </row>
    <row r="22" spans="1:8" x14ac:dyDescent="0.25">
      <c r="A22" s="12" t="s">
        <v>43</v>
      </c>
      <c r="B22" s="12"/>
      <c r="C22" s="12"/>
      <c r="D22" s="12"/>
      <c r="E22" s="12"/>
      <c r="F22" s="12"/>
      <c r="G22" s="12"/>
      <c r="H22" s="12"/>
    </row>
    <row r="23" spans="1:8" x14ac:dyDescent="0.25">
      <c r="A23" s="12" t="s">
        <v>44</v>
      </c>
      <c r="B23" s="12" t="s">
        <v>35</v>
      </c>
      <c r="C23" s="12" t="s">
        <v>45</v>
      </c>
      <c r="D23" s="12"/>
      <c r="E23" s="12"/>
      <c r="F23" s="12"/>
      <c r="G23" s="12"/>
      <c r="H23" s="12"/>
    </row>
    <row r="24" spans="1:8" x14ac:dyDescent="0.25">
      <c r="A24" s="12" t="s">
        <v>46</v>
      </c>
      <c r="B24" s="12" t="s">
        <v>20</v>
      </c>
      <c r="C24" s="12" t="s">
        <v>20</v>
      </c>
      <c r="D24" s="12"/>
      <c r="E24" s="12"/>
      <c r="F24" s="12"/>
      <c r="G24" s="12"/>
      <c r="H24" s="12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9"/>
  <sheetViews>
    <sheetView workbookViewId="0">
      <selection activeCell="A12" sqref="A12"/>
    </sheetView>
  </sheetViews>
  <sheetFormatPr defaultRowHeight="15" x14ac:dyDescent="0.25"/>
  <cols>
    <col min="1" max="1" width="17.7109375" customWidth="1"/>
  </cols>
  <sheetData>
    <row r="1" spans="1:1" x14ac:dyDescent="0.25">
      <c r="A1" s="14" t="s">
        <v>10</v>
      </c>
    </row>
    <row r="2" spans="1:1" x14ac:dyDescent="0.25">
      <c r="A2" t="s">
        <v>89</v>
      </c>
    </row>
    <row r="3" spans="1:1" s="16" customFormat="1" x14ac:dyDescent="0.25">
      <c r="A3" s="16" t="s">
        <v>91</v>
      </c>
    </row>
    <row r="4" spans="1:1" x14ac:dyDescent="0.25">
      <c r="A4" t="s">
        <v>50</v>
      </c>
    </row>
    <row r="5" spans="1:1" x14ac:dyDescent="0.25">
      <c r="A5" t="s">
        <v>47</v>
      </c>
    </row>
    <row r="6" spans="1:1" x14ac:dyDescent="0.25">
      <c r="A6" t="s">
        <v>24</v>
      </c>
    </row>
    <row r="7" spans="1:1" x14ac:dyDescent="0.25">
      <c r="A7" t="s">
        <v>48</v>
      </c>
    </row>
    <row r="8" spans="1:1" x14ac:dyDescent="0.25">
      <c r="A8" t="s">
        <v>92</v>
      </c>
    </row>
    <row r="9" spans="1:1" s="15" customFormat="1" x14ac:dyDescent="0.25">
      <c r="A9" s="15" t="s">
        <v>90</v>
      </c>
    </row>
    <row r="10" spans="1:1" s="15" customFormat="1" x14ac:dyDescent="0.25">
      <c r="A10" s="15" t="s">
        <v>21</v>
      </c>
    </row>
    <row r="11" spans="1:1" s="15" customFormat="1" x14ac:dyDescent="0.25">
      <c r="A11" s="15" t="s">
        <v>76</v>
      </c>
    </row>
    <row r="13" spans="1:1" x14ac:dyDescent="0.25">
      <c r="A13" s="14" t="s">
        <v>11</v>
      </c>
    </row>
    <row r="14" spans="1:1" x14ac:dyDescent="0.25">
      <c r="A14" t="s">
        <v>49</v>
      </c>
    </row>
    <row r="15" spans="1:1" x14ac:dyDescent="0.25">
      <c r="A15" t="s">
        <v>50</v>
      </c>
    </row>
    <row r="16" spans="1:1" x14ac:dyDescent="0.25">
      <c r="A16" t="s">
        <v>27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25</v>
      </c>
    </row>
    <row r="23" spans="1:1" x14ac:dyDescent="0.25">
      <c r="A23" t="s">
        <v>56</v>
      </c>
    </row>
    <row r="24" spans="1:1" x14ac:dyDescent="0.25">
      <c r="A24" t="s">
        <v>57</v>
      </c>
    </row>
    <row r="26" spans="1:1" x14ac:dyDescent="0.25">
      <c r="A26" s="14" t="s">
        <v>14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26</v>
      </c>
    </row>
    <row r="30" spans="1:1" x14ac:dyDescent="0.25">
      <c r="A30" t="s">
        <v>60</v>
      </c>
    </row>
    <row r="31" spans="1:1" x14ac:dyDescent="0.25">
      <c r="A31" t="s">
        <v>61</v>
      </c>
    </row>
    <row r="33" spans="1:1" x14ac:dyDescent="0.25">
      <c r="A33" s="14" t="s">
        <v>17</v>
      </c>
    </row>
    <row r="34" spans="1:1" x14ac:dyDescent="0.25">
      <c r="A34" t="s">
        <v>62</v>
      </c>
    </row>
    <row r="35" spans="1:1" x14ac:dyDescent="0.25">
      <c r="A35" t="s">
        <v>22</v>
      </c>
    </row>
    <row r="37" spans="1:1" x14ac:dyDescent="0.25">
      <c r="A37" s="14" t="s">
        <v>18</v>
      </c>
    </row>
    <row r="38" spans="1:1" x14ac:dyDescent="0.25">
      <c r="A38" t="s">
        <v>59</v>
      </c>
    </row>
    <row r="39" spans="1:1" x14ac:dyDescent="0.25">
      <c r="A39" t="s">
        <v>23</v>
      </c>
    </row>
    <row r="40" spans="1:1" x14ac:dyDescent="0.25">
      <c r="A40" t="s">
        <v>63</v>
      </c>
    </row>
    <row r="42" spans="1:1" x14ac:dyDescent="0.25">
      <c r="A42" s="14" t="s">
        <v>73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70</v>
      </c>
    </row>
    <row r="48" spans="1:1" x14ac:dyDescent="0.25">
      <c r="A48" t="s">
        <v>80</v>
      </c>
    </row>
    <row r="49" spans="1:1" x14ac:dyDescent="0.25">
      <c r="A49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</vt:lpstr>
      <vt:lpstr>SUMMARY</vt:lpstr>
      <vt:lpstr>VALIDATION_LISTS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Riman Fashion</cp:lastModifiedBy>
  <dcterms:created xsi:type="dcterms:W3CDTF">2026-01-23T18:44:54Z</dcterms:created>
  <dcterms:modified xsi:type="dcterms:W3CDTF">2026-01-25T19:08:04Z</dcterms:modified>
</cp:coreProperties>
</file>